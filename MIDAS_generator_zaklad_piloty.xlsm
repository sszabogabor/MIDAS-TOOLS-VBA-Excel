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to_zošit" defaultThemeVersion="124226"/>
  <bookViews>
    <workbookView xWindow="480" yWindow="75" windowWidth="27960" windowHeight="13620"/>
  </bookViews>
  <sheets>
    <sheet name="Input" sheetId="1" r:id="rId1"/>
    <sheet name="MCT_data" sheetId="2" r:id="rId2"/>
    <sheet name="changelog" sheetId="3" r:id="rId3"/>
  </sheets>
  <calcPr calcId="145621"/>
</workbook>
</file>

<file path=xl/calcChain.xml><?xml version="1.0" encoding="utf-8"?>
<calcChain xmlns="http://schemas.openxmlformats.org/spreadsheetml/2006/main">
  <c r="J29" i="1" l="1"/>
  <c r="J28" i="1"/>
  <c r="H11" i="1"/>
  <c r="H12" i="1"/>
  <c r="J10" i="1" l="1"/>
  <c r="J9" i="1"/>
  <c r="O5" i="1" l="1"/>
  <c r="N5" i="1"/>
  <c r="O4" i="1"/>
  <c r="N4" i="1"/>
  <c r="O3" i="1"/>
  <c r="N3" i="1"/>
  <c r="O2" i="1"/>
  <c r="N2" i="1"/>
  <c r="H14" i="1"/>
  <c r="H13" i="1"/>
  <c r="H20" i="1" s="1"/>
  <c r="H21" i="1" l="1"/>
</calcChain>
</file>

<file path=xl/comments1.xml><?xml version="1.0" encoding="utf-8"?>
<comments xmlns="http://schemas.openxmlformats.org/spreadsheetml/2006/main">
  <authors>
    <author>Gabor Szabo</author>
  </authors>
  <commentList>
    <comment ref="H15" authorId="0">
      <text>
        <r>
          <rPr>
            <b/>
            <sz val="9"/>
            <color indexed="81"/>
            <rFont val="Tahoma"/>
            <family val="2"/>
            <charset val="238"/>
          </rPr>
          <t>Gabor Szabo:</t>
        </r>
        <r>
          <rPr>
            <sz val="9"/>
            <color indexed="81"/>
            <rFont val="Tahoma"/>
            <family val="2"/>
            <charset val="238"/>
          </rPr>
          <t xml:space="preserve">
cez prikaz Vloz uzol v MIDASE zistis posleny cislo uzlu v modeli</t>
        </r>
      </text>
    </comment>
    <comment ref="H23" authorId="0">
      <text>
        <r>
          <rPr>
            <b/>
            <sz val="9"/>
            <color indexed="81"/>
            <rFont val="Tahoma"/>
            <family val="2"/>
            <charset val="238"/>
          </rPr>
          <t xml:space="preserve">Gabor Szabo:
MIDAS HELP:
</t>
        </r>
        <r>
          <rPr>
            <sz val="9"/>
            <color indexed="81"/>
            <rFont val="Tahoma"/>
            <family val="2"/>
            <charset val="238"/>
          </rPr>
          <t>DOF of Rigid Link
Assign the degrees-of-freedom to be slaved to the master node.
DX: Displacement degree-of-freedom in GCS X-direction
DY: Displacement degree-of-freedom in GCS Y-direction
DZ: Displacement degree-of-freedom in GCS Z-direction
RX: Rotational degree-of-freedom about GCS X-axis
RY: Rotational degree-of-freedom about GCS Y-axis
RZ: Rotational degree-of-freedom about GCS Z-axis</t>
        </r>
      </text>
    </comment>
    <comment ref="H30" authorId="0">
      <text>
        <r>
          <rPr>
            <b/>
            <sz val="9"/>
            <color indexed="81"/>
            <rFont val="Tahoma"/>
            <family val="2"/>
            <charset val="238"/>
          </rPr>
          <t xml:space="preserve">Gabor Szabo:
MIDAS HELP:
</t>
        </r>
        <r>
          <rPr>
            <sz val="9"/>
            <color indexed="81"/>
            <rFont val="Tahoma"/>
            <family val="2"/>
            <charset val="238"/>
          </rPr>
          <t>DOF of Rigid Link
Assign the degrees-of-freedom to be slaved to the master node.
DX: Displacement degree-of-freedom in GCS X-direction
DY: Displacement degree-of-freedom in GCS Y-direction
DZ: Displacement degree-of-freedom in GCS Z-direction
RX: Rotational degree-of-freedom about GCS X-axis
RY: Rotational degree-of-freedom about GCS Y-axis
RZ: Rotational degree-of-freedom about GCS Z-axis</t>
        </r>
      </text>
    </comment>
  </commentList>
</comments>
</file>

<file path=xl/sharedStrings.xml><?xml version="1.0" encoding="utf-8"?>
<sst xmlns="http://schemas.openxmlformats.org/spreadsheetml/2006/main" count="194" uniqueCount="139">
  <si>
    <t>Rozmery zakladu</t>
  </si>
  <si>
    <t>m</t>
  </si>
  <si>
    <t>h</t>
  </si>
  <si>
    <t>pocet pilot</t>
  </si>
  <si>
    <t>smer</t>
  </si>
  <si>
    <t>ks</t>
  </si>
  <si>
    <t>osova vzdialenost krajnych pilot</t>
  </si>
  <si>
    <t>X</t>
  </si>
  <si>
    <t>Y</t>
  </si>
  <si>
    <t>Priemer pilot</t>
  </si>
  <si>
    <t>D</t>
  </si>
  <si>
    <t>=</t>
  </si>
  <si>
    <t>Symetricky obldznikovy zaklad s pilotami</t>
  </si>
  <si>
    <t>nx</t>
  </si>
  <si>
    <t>ny</t>
  </si>
  <si>
    <t>cx</t>
  </si>
  <si>
    <t>cy</t>
  </si>
  <si>
    <t>suradnica pilot</t>
  </si>
  <si>
    <t>poloha x</t>
  </si>
  <si>
    <t>poloha y</t>
  </si>
  <si>
    <t>suradnica x</t>
  </si>
  <si>
    <t>suradnica y</t>
  </si>
  <si>
    <t>osova vzdialenost susediacich pilot</t>
  </si>
  <si>
    <t>Lx</t>
  </si>
  <si>
    <t>Ly</t>
  </si>
  <si>
    <t>dx</t>
  </si>
  <si>
    <t>dy</t>
  </si>
  <si>
    <t>N numb</t>
  </si>
  <si>
    <t>pociatocny uzol - zisti z modelu</t>
  </si>
  <si>
    <t>*NODE    ; Nodes</t>
  </si>
  <si>
    <t>; iNO, X, Y, Z</t>
  </si>
  <si>
    <t>*RIGIDLINK    ; Rigid Link</t>
  </si>
  <si>
    <t>sposob prepojeni a dosky a hlavy pilot</t>
  </si>
  <si>
    <t>Pilier</t>
  </si>
  <si>
    <t>priemer</t>
  </si>
  <si>
    <t>suradnice piliera</t>
  </si>
  <si>
    <t>x</t>
  </si>
  <si>
    <t>y</t>
  </si>
  <si>
    <t>odsadenie pilot od kraja</t>
  </si>
  <si>
    <t>pocet uzlov prepojenia drieku so zakladom</t>
  </si>
  <si>
    <t>Data.val</t>
  </si>
  <si>
    <t>sposob prepojenia dosky a hlavy pilot</t>
  </si>
  <si>
    <t>tuha vazba vlastnosti</t>
  </si>
  <si>
    <t>5000, -3.5, 2.5</t>
  </si>
  <si>
    <t>5001, 3.5, 2.5</t>
  </si>
  <si>
    <t>5002, 3.5, -2.5</t>
  </si>
  <si>
    <t>5003, -3.5, -2.5</t>
  </si>
  <si>
    <t>5004, -2.5, -1.5, 0</t>
  </si>
  <si>
    <t>5005, -2.5, -1.5, -0.73</t>
  </si>
  <si>
    <t>5006, -2.5, -1.05, 0</t>
  </si>
  <si>
    <t>5007, -2.181802, -1.181802, 0</t>
  </si>
  <si>
    <t>5008, -2.05, -1.5, 0</t>
  </si>
  <si>
    <t>5009, -2.181802, -1.818198, 0</t>
  </si>
  <si>
    <t>5010, -2.5, -1.95, 0</t>
  </si>
  <si>
    <t>5011, -2.818198, -1.818198, 0</t>
  </si>
  <si>
    <t>5012, -2.95, -1.5, 0</t>
  </si>
  <si>
    <t>5013, -2.818198, -1.181802, 0</t>
  </si>
  <si>
    <t>5005, 111111, 5006 5007 5008 5009 5010 5011 5012 5013 5004</t>
  </si>
  <si>
    <t>5014, -2.5, 1.5, 0</t>
  </si>
  <si>
    <t>5015, -2.5, 1.5, -0.73</t>
  </si>
  <si>
    <t>5016, -2.5, 1.95, 0</t>
  </si>
  <si>
    <t>5017, -2.181802, 1.818198, 0</t>
  </si>
  <si>
    <t>5018, -2.05, 1.5, 0</t>
  </si>
  <si>
    <t>5019, -2.181802, 1.181802, 0</t>
  </si>
  <si>
    <t>5020, -2.5, 1.05, 0</t>
  </si>
  <si>
    <t>5021, -2.818198, 1.181802, 0</t>
  </si>
  <si>
    <t>5022, -2.95, 1.5, 0</t>
  </si>
  <si>
    <t>5023, -2.818198, 1.818198, 0</t>
  </si>
  <si>
    <t>5015, 111111, 5016 5017 5018 5019 5020 5021 5022 5023 5014</t>
  </si>
  <si>
    <t>5024, 0, -1.5, 0</t>
  </si>
  <si>
    <t>5025, 0, -1.5, -0.73</t>
  </si>
  <si>
    <t>5026, 0, -1.05, 0</t>
  </si>
  <si>
    <t>5027, 0.318198, -1.181802, 0</t>
  </si>
  <si>
    <t>5028, 0.45, -1.5, 0</t>
  </si>
  <si>
    <t>5029, 0.318198, -1.818198, 0</t>
  </si>
  <si>
    <t>5030, 0, -1.95, 0</t>
  </si>
  <si>
    <t>5031, -0.318198, -1.818198, 0</t>
  </si>
  <si>
    <t>5032, -0.45, -1.5, 0</t>
  </si>
  <si>
    <t>5033, -0.318198, -1.181802, 0</t>
  </si>
  <si>
    <t>5025, 111111, 5026 5027 5028 5029 5030 5031 5032 5033 5024</t>
  </si>
  <si>
    <t>5034, 0, 1.5, 0</t>
  </si>
  <si>
    <t>5035, 0, 1.5, -0.73</t>
  </si>
  <si>
    <t>5036, 0, 1.95, 0</t>
  </si>
  <si>
    <t>5037, 0.318198, 1.818198, 0</t>
  </si>
  <si>
    <t>5038, 0.45, 1.5, 0</t>
  </si>
  <si>
    <t>5039, 0.318198, 1.181802, 0</t>
  </si>
  <si>
    <t>5040, 0, 1.05, 0</t>
  </si>
  <si>
    <t>5041, -0.318198, 1.181802, 0</t>
  </si>
  <si>
    <t>5042, -0.45, 1.5, 0</t>
  </si>
  <si>
    <t>5043, -0.318198, 1.818198, 0</t>
  </si>
  <si>
    <t>5035, 111111, 5036 5037 5038 5039 5040 5041 5042 5043 5034</t>
  </si>
  <si>
    <t>5044, 2.5, -1.5, 0</t>
  </si>
  <si>
    <t>5045, 2.5, -1.5, -0.73</t>
  </si>
  <si>
    <t>5046, 2.5, -1.05, 0</t>
  </si>
  <si>
    <t>5047, 2.818198, -1.181802, 0</t>
  </si>
  <si>
    <t>5048, 2.95, -1.5, 0</t>
  </si>
  <si>
    <t>5049, 2.818198, -1.818198, 0</t>
  </si>
  <si>
    <t>5050, 2.5, -1.95, 0</t>
  </si>
  <si>
    <t>5051, 2.181802, -1.818198, 0</t>
  </si>
  <si>
    <t>5052, 2.05, -1.5, 0</t>
  </si>
  <si>
    <t>5053, 2.181802, -1.181802, 0</t>
  </si>
  <si>
    <t>5045, 111111, 5046 5047 5048 5049 5050 5051 5052 5053 5044</t>
  </si>
  <si>
    <t>5054, 2.5, 1.5, 0</t>
  </si>
  <si>
    <t>5055, 2.5, 1.5, -0.73</t>
  </si>
  <si>
    <t>5056, 2.5, 1.95, 0</t>
  </si>
  <si>
    <t>5057, 2.818198, 1.818198, 0</t>
  </si>
  <si>
    <t>5058, 2.95, 1.5, 0</t>
  </si>
  <si>
    <t>5059, 2.818198, 1.181802, 0</t>
  </si>
  <si>
    <t>5060, 2.5, 1.05, 0</t>
  </si>
  <si>
    <t>5061, 2.181802, 1.181802, 0</t>
  </si>
  <si>
    <t>5062, 2.05, 1.5, 0</t>
  </si>
  <si>
    <t>5063, 2.181802, 1.818198, 0</t>
  </si>
  <si>
    <t>5055, 111111, 5056 5057 5058 5059 5060 5061 5062 5063 5054</t>
  </si>
  <si>
    <t>5064, 0, 0, 0.73</t>
  </si>
  <si>
    <t>5065, 0, 1, 0</t>
  </si>
  <si>
    <t>5066, 0.258819, 0.965926, 0</t>
  </si>
  <si>
    <t>5067, 0.5, 0.866025, 0</t>
  </si>
  <si>
    <t>5068, 0.707107, 0.707107, 0</t>
  </si>
  <si>
    <t>5069, 0.866025, 0.5, 0</t>
  </si>
  <si>
    <t>5070, 0.965926, 0.258819, 0</t>
  </si>
  <si>
    <t>5071, 1, 0, 0</t>
  </si>
  <si>
    <t>5072, 0.965926, -0.258819, 0</t>
  </si>
  <si>
    <t>5073, 0.866025, -0.5, 0</t>
  </si>
  <si>
    <t>5074, 0.707107, -0.707107, 0</t>
  </si>
  <si>
    <t>5075, 0.5, -0.866025, 0</t>
  </si>
  <si>
    <t>5076, 0.258819, -0.965926, 0</t>
  </si>
  <si>
    <t>5077, 0, -1, 0</t>
  </si>
  <si>
    <t>5078, -0.258819, -0.965926, 0</t>
  </si>
  <si>
    <t>5079, -0.5, -0.866025, 0</t>
  </si>
  <si>
    <t>5080, -0.707107, -0.707107, 0</t>
  </si>
  <si>
    <t>5081, -0.866025, -0.5, 0</t>
  </si>
  <si>
    <t>5082, -0.965926, -0.258819, 0</t>
  </si>
  <si>
    <t>5083, -1, 0, 0</t>
  </si>
  <si>
    <t>5084, -0.965926, 0.258819, 0</t>
  </si>
  <si>
    <t>5085, -0.866025, 0.5, 0</t>
  </si>
  <si>
    <t>5086, -0.707107, 0.707107, 0</t>
  </si>
  <si>
    <t>5087, -0.5, 0.866025, 0</t>
  </si>
  <si>
    <t>5088, -0.258819, 0.965926, 0</t>
  </si>
  <si>
    <t xml:space="preserve">5064, 111111, 5065 5066 5067 5068 5069 5070 5071 5072 5073 5074 5075 5076 5077 5078 5079 5080 5081 5082 5083 5084 5085 5086 5087 5088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</si>
</sst>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9" x14ac:knownFonts="1">
    <font>
      <sz val="11"/>
      <color theme="1"/>
      <name val="Arial"/>
      <family val="2"/>
      <charset val="238"/>
    </font>
    <font>
      <b/>
      <sz val="9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9"/>
      <color rgb="FFFF0000"/>
      <name val="Calibri"/>
      <family val="2"/>
      <charset val="238"/>
      <scheme val="minor"/>
    </font>
    <font>
      <sz val="9"/>
      <color rgb="FF0070C0"/>
      <name val="Calibri"/>
      <family val="2"/>
      <charset val="238"/>
      <scheme val="minor"/>
    </font>
    <font>
      <sz val="9"/>
      <color theme="6" tint="-0.249977111117893"/>
      <name val="Calibri"/>
      <family val="2"/>
      <charset val="238"/>
      <scheme val="minor"/>
    </font>
    <font>
      <sz val="9"/>
      <color theme="0" tint="-0.1499984740745262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5" fillId="0" borderId="0" xfId="0" applyFont="1"/>
    <xf numFmtId="0" fontId="6" fillId="0" borderId="0" xfId="0" applyFont="1"/>
    <xf numFmtId="164" fontId="6" fillId="0" borderId="0" xfId="0" applyNumberFormat="1" applyFont="1"/>
    <xf numFmtId="1" fontId="5" fillId="0" borderId="0" xfId="0" applyNumberFormat="1" applyFont="1"/>
    <xf numFmtId="0" fontId="7" fillId="0" borderId="0" xfId="0" applyFont="1"/>
    <xf numFmtId="0" fontId="8" fillId="0" borderId="0" xfId="0" applyFont="1"/>
  </cellXfs>
  <cellStyles count="1">
    <cellStyle name="Normálna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Pilota</c:v>
          </c:tx>
          <c:spPr>
            <a:ln w="28575">
              <a:noFill/>
            </a:ln>
          </c:spPr>
          <c:marker>
            <c:symbol val="circle"/>
            <c:size val="11"/>
          </c:marker>
          <c:xVal>
            <c:numRef>
              <c:f>Input!$H$20</c:f>
              <c:numCache>
                <c:formatCode>General</c:formatCode>
                <c:ptCount val="1"/>
                <c:pt idx="0">
                  <c:v>2.5</c:v>
                </c:pt>
              </c:numCache>
            </c:numRef>
          </c:xVal>
          <c:yVal>
            <c:numRef>
              <c:f>Input!$H$21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</c:ser>
        <c:ser>
          <c:idx val="0"/>
          <c:order val="1"/>
          <c:spPr>
            <a:ln w="28575">
              <a:noFill/>
            </a:ln>
          </c:spPr>
          <c:dPt>
            <c:idx val="0"/>
            <c:marker>
              <c:symbol val="square"/>
              <c:size val="7"/>
            </c:marker>
            <c:bubble3D val="0"/>
          </c:dPt>
          <c:xVal>
            <c:numRef>
              <c:f>Input!$N$2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Input!$O$2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dPt>
            <c:idx val="0"/>
            <c:marker>
              <c:symbol val="square"/>
              <c:size val="7"/>
            </c:marker>
            <c:bubble3D val="0"/>
          </c:dPt>
          <c:xVal>
            <c:numRef>
              <c:f>Input!$N$3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Input!$O$3</c:f>
              <c:numCache>
                <c:formatCode>General</c:formatCode>
                <c:ptCount val="1"/>
                <c:pt idx="0">
                  <c:v>-2.5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square"/>
            <c:size val="7"/>
          </c:marker>
          <c:xVal>
            <c:numRef>
              <c:f>Input!$N$4</c:f>
              <c:numCache>
                <c:formatCode>General</c:formatCode>
                <c:ptCount val="1"/>
                <c:pt idx="0">
                  <c:v>-3.5</c:v>
                </c:pt>
              </c:numCache>
            </c:numRef>
          </c:xVal>
          <c:yVal>
            <c:numRef>
              <c:f>Input!$O$4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</c:ser>
        <c:ser>
          <c:idx val="4"/>
          <c:order val="4"/>
          <c:spPr>
            <a:ln w="28575">
              <a:noFill/>
            </a:ln>
          </c:spPr>
          <c:marker>
            <c:symbol val="square"/>
            <c:size val="7"/>
          </c:marker>
          <c:xVal>
            <c:numRef>
              <c:f>Input!$N$5</c:f>
              <c:numCache>
                <c:formatCode>General</c:formatCode>
                <c:ptCount val="1"/>
                <c:pt idx="0">
                  <c:v>-3.5</c:v>
                </c:pt>
              </c:numCache>
            </c:numRef>
          </c:xVal>
          <c:yVal>
            <c:numRef>
              <c:f>Input!$O$5</c:f>
              <c:numCache>
                <c:formatCode>General</c:formatCode>
                <c:ptCount val="1"/>
                <c:pt idx="0">
                  <c:v>-2.5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0576"/>
        <c:axId val="167841152"/>
      </c:scatterChart>
      <c:valAx>
        <c:axId val="16784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841152"/>
        <c:crosses val="autoZero"/>
        <c:crossBetween val="midCat"/>
      </c:valAx>
      <c:valAx>
        <c:axId val="1678411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78405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333375</xdr:colOff>
      <xdr:row>7</xdr:row>
      <xdr:rowOff>9525</xdr:rowOff>
    </xdr:from>
    <xdr:to>
      <xdr:col>19</xdr:col>
      <xdr:colOff>247650</xdr:colOff>
      <xdr:row>22</xdr:row>
      <xdr:rowOff>28575</xdr:rowOff>
    </xdr:to>
    <xdr:graphicFrame macro="">
      <xdr:nvGraphicFramePr>
        <xdr:cNvPr id="3" name="Graf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1</xdr:row>
          <xdr:rowOff>76200</xdr:rowOff>
        </xdr:from>
        <xdr:to>
          <xdr:col>12</xdr:col>
          <xdr:colOff>57150</xdr:colOff>
          <xdr:row>4</xdr:row>
          <xdr:rowOff>66675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5</xdr:row>
          <xdr:rowOff>38100</xdr:rowOff>
        </xdr:from>
        <xdr:to>
          <xdr:col>12</xdr:col>
          <xdr:colOff>57150</xdr:colOff>
          <xdr:row>8</xdr:row>
          <xdr:rowOff>19050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10</xdr:col>
      <xdr:colOff>245569</xdr:colOff>
      <xdr:row>22</xdr:row>
      <xdr:rowOff>76200</xdr:rowOff>
    </xdr:from>
    <xdr:to>
      <xdr:col>16</xdr:col>
      <xdr:colOff>123825</xdr:colOff>
      <xdr:row>41</xdr:row>
      <xdr:rowOff>22686</xdr:rowOff>
    </xdr:to>
    <xdr:pic>
      <xdr:nvPicPr>
        <xdr:cNvPr id="2" name="Obrázok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60694" y="3429000"/>
          <a:ext cx="3993056" cy="28420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1"/>
  <dimension ref="A1:O32"/>
  <sheetViews>
    <sheetView tabSelected="1" zoomScaleNormal="100" workbookViewId="0">
      <selection activeCell="M14" sqref="M14"/>
    </sheetView>
  </sheetViews>
  <sheetFormatPr defaultRowHeight="12" x14ac:dyDescent="0.2"/>
  <cols>
    <col min="1" max="1" width="6" style="2" customWidth="1"/>
    <col min="2" max="2" width="9" style="2"/>
    <col min="3" max="3" width="27.625" style="2" bestFit="1" customWidth="1"/>
    <col min="4" max="4" width="4.375" style="2" customWidth="1"/>
    <col min="5" max="5" width="5.125" style="2" bestFit="1" customWidth="1"/>
    <col min="6" max="6" width="6.125" style="3" customWidth="1"/>
    <col min="7" max="7" width="2.375" style="2" customWidth="1"/>
    <col min="8" max="8" width="8.25" style="2" customWidth="1"/>
    <col min="9" max="9" width="4.25" style="2" customWidth="1"/>
    <col min="10" max="10" width="9.625" style="2" customWidth="1"/>
    <col min="11" max="11" width="9" style="2" customWidth="1"/>
    <col min="12" max="16384" width="9" style="2"/>
  </cols>
  <sheetData>
    <row r="1" spans="3:15" x14ac:dyDescent="0.2">
      <c r="C1" s="1" t="s">
        <v>12</v>
      </c>
    </row>
    <row r="2" spans="3:15" x14ac:dyDescent="0.2">
      <c r="N2" s="2">
        <f>H3/2</f>
        <v>3.5</v>
      </c>
      <c r="O2" s="2">
        <f>H4/2</f>
        <v>2.5</v>
      </c>
    </row>
    <row r="3" spans="3:15" x14ac:dyDescent="0.2">
      <c r="C3" s="2" t="s">
        <v>0</v>
      </c>
      <c r="F3" s="3" t="s">
        <v>7</v>
      </c>
      <c r="G3" s="3" t="s">
        <v>11</v>
      </c>
      <c r="H3" s="5">
        <v>7</v>
      </c>
      <c r="I3" s="2" t="s">
        <v>1</v>
      </c>
      <c r="N3" s="2">
        <f>H3/2</f>
        <v>3.5</v>
      </c>
      <c r="O3" s="2">
        <f>-H4/2</f>
        <v>-2.5</v>
      </c>
    </row>
    <row r="4" spans="3:15" x14ac:dyDescent="0.2">
      <c r="F4" s="3" t="s">
        <v>8</v>
      </c>
      <c r="G4" s="3" t="s">
        <v>11</v>
      </c>
      <c r="H4" s="5">
        <v>5</v>
      </c>
      <c r="I4" s="2" t="s">
        <v>1</v>
      </c>
      <c r="N4" s="2">
        <f>-H3/2</f>
        <v>-3.5</v>
      </c>
      <c r="O4" s="2">
        <f>H4/2</f>
        <v>2.5</v>
      </c>
    </row>
    <row r="5" spans="3:15" x14ac:dyDescent="0.2">
      <c r="F5" s="3" t="s">
        <v>2</v>
      </c>
      <c r="G5" s="3" t="s">
        <v>11</v>
      </c>
      <c r="H5" s="5">
        <v>1.46</v>
      </c>
      <c r="I5" s="2" t="s">
        <v>1</v>
      </c>
      <c r="N5" s="2">
        <f>-H3/2</f>
        <v>-3.5</v>
      </c>
      <c r="O5" s="2">
        <f>-H4/2</f>
        <v>-2.5</v>
      </c>
    </row>
    <row r="6" spans="3:15" x14ac:dyDescent="0.2">
      <c r="C6" s="2" t="s">
        <v>9</v>
      </c>
      <c r="F6" s="3" t="s">
        <v>10</v>
      </c>
      <c r="G6" s="3" t="s">
        <v>11</v>
      </c>
      <c r="H6" s="5">
        <v>0.9</v>
      </c>
      <c r="I6" s="2" t="s">
        <v>1</v>
      </c>
    </row>
    <row r="7" spans="3:15" x14ac:dyDescent="0.2">
      <c r="C7" s="2" t="s">
        <v>3</v>
      </c>
      <c r="E7" s="2" t="s">
        <v>4</v>
      </c>
      <c r="F7" s="3" t="s">
        <v>13</v>
      </c>
      <c r="G7" s="3" t="s">
        <v>11</v>
      </c>
      <c r="H7" s="5">
        <v>3</v>
      </c>
      <c r="I7" s="2" t="s">
        <v>5</v>
      </c>
    </row>
    <row r="8" spans="3:15" x14ac:dyDescent="0.2">
      <c r="F8" s="3" t="s">
        <v>14</v>
      </c>
      <c r="G8" s="3" t="s">
        <v>11</v>
      </c>
      <c r="H8" s="5">
        <v>2</v>
      </c>
      <c r="I8" s="2" t="s">
        <v>5</v>
      </c>
    </row>
    <row r="9" spans="3:15" x14ac:dyDescent="0.2">
      <c r="C9" s="2" t="s">
        <v>38</v>
      </c>
      <c r="E9" s="2" t="s">
        <v>4</v>
      </c>
      <c r="F9" s="3" t="s">
        <v>15</v>
      </c>
      <c r="G9" s="3" t="s">
        <v>11</v>
      </c>
      <c r="H9" s="5">
        <v>1</v>
      </c>
      <c r="I9" s="2" t="s">
        <v>1</v>
      </c>
      <c r="J9" s="2" t="str">
        <f>IF(H9&lt;H6/2,"obrys je mimo zakladu","OK")</f>
        <v>OK</v>
      </c>
    </row>
    <row r="10" spans="3:15" x14ac:dyDescent="0.2">
      <c r="F10" s="3" t="s">
        <v>16</v>
      </c>
      <c r="G10" s="3" t="s">
        <v>11</v>
      </c>
      <c r="H10" s="5">
        <v>1</v>
      </c>
      <c r="I10" s="2" t="s">
        <v>1</v>
      </c>
      <c r="J10" s="2" t="str">
        <f>IF(H10&lt;H6/2,"obrys je mimo zakladu","OK")</f>
        <v>OK</v>
      </c>
    </row>
    <row r="11" spans="3:15" x14ac:dyDescent="0.2">
      <c r="C11" s="2" t="s">
        <v>6</v>
      </c>
      <c r="E11" s="2" t="s">
        <v>4</v>
      </c>
      <c r="F11" s="3" t="s">
        <v>23</v>
      </c>
      <c r="G11" s="3" t="s">
        <v>11</v>
      </c>
      <c r="H11" s="6">
        <f>H3-2*H9</f>
        <v>5</v>
      </c>
      <c r="I11" s="2" t="s">
        <v>1</v>
      </c>
    </row>
    <row r="12" spans="3:15" x14ac:dyDescent="0.2">
      <c r="F12" s="3" t="s">
        <v>24</v>
      </c>
      <c r="G12" s="3" t="s">
        <v>11</v>
      </c>
      <c r="H12" s="6">
        <f>H4-2*H10</f>
        <v>3</v>
      </c>
      <c r="I12" s="2" t="s">
        <v>1</v>
      </c>
    </row>
    <row r="13" spans="3:15" x14ac:dyDescent="0.2">
      <c r="C13" s="2" t="s">
        <v>22</v>
      </c>
      <c r="E13" s="2" t="s">
        <v>4</v>
      </c>
      <c r="F13" s="3" t="s">
        <v>25</v>
      </c>
      <c r="G13" s="3" t="s">
        <v>11</v>
      </c>
      <c r="H13" s="7">
        <f>H11/(H7-1)</f>
        <v>2.5</v>
      </c>
      <c r="I13" s="2" t="s">
        <v>1</v>
      </c>
    </row>
    <row r="14" spans="3:15" x14ac:dyDescent="0.2">
      <c r="F14" s="3" t="s">
        <v>26</v>
      </c>
      <c r="G14" s="3" t="s">
        <v>11</v>
      </c>
      <c r="H14" s="7">
        <f>H12/(H8-1)</f>
        <v>3</v>
      </c>
      <c r="I14" s="2" t="s">
        <v>1</v>
      </c>
    </row>
    <row r="15" spans="3:15" x14ac:dyDescent="0.2">
      <c r="C15" s="2" t="s">
        <v>28</v>
      </c>
      <c r="F15" s="3" t="s">
        <v>27</v>
      </c>
      <c r="G15" s="3" t="s">
        <v>11</v>
      </c>
      <c r="H15" s="5">
        <v>5000</v>
      </c>
    </row>
    <row r="17" spans="1:10" x14ac:dyDescent="0.2">
      <c r="C17" s="2" t="s">
        <v>17</v>
      </c>
    </row>
    <row r="18" spans="1:10" x14ac:dyDescent="0.2">
      <c r="C18" s="2" t="s">
        <v>18</v>
      </c>
      <c r="H18" s="5">
        <v>3</v>
      </c>
    </row>
    <row r="19" spans="1:10" x14ac:dyDescent="0.2">
      <c r="C19" s="2" t="s">
        <v>19</v>
      </c>
      <c r="H19" s="5">
        <v>2</v>
      </c>
    </row>
    <row r="20" spans="1:10" x14ac:dyDescent="0.2">
      <c r="C20" s="2" t="s">
        <v>20</v>
      </c>
      <c r="H20" s="6">
        <f>-H11/2+(H18-1)*H13</f>
        <v>2.5</v>
      </c>
      <c r="I20" s="2" t="s">
        <v>1</v>
      </c>
    </row>
    <row r="21" spans="1:10" x14ac:dyDescent="0.2">
      <c r="C21" s="2" t="s">
        <v>21</v>
      </c>
      <c r="H21" s="6">
        <f>-H12/2+(H19-1)*H14</f>
        <v>1.5</v>
      </c>
      <c r="I21" s="2" t="s">
        <v>1</v>
      </c>
    </row>
    <row r="23" spans="1:10" x14ac:dyDescent="0.2">
      <c r="C23" s="2" t="s">
        <v>32</v>
      </c>
      <c r="F23" s="4" t="s">
        <v>42</v>
      </c>
      <c r="H23" s="8">
        <v>111111</v>
      </c>
    </row>
    <row r="26" spans="1:10" x14ac:dyDescent="0.2">
      <c r="C26" s="1" t="s">
        <v>33</v>
      </c>
    </row>
    <row r="27" spans="1:10" x14ac:dyDescent="0.2">
      <c r="C27" s="2" t="s">
        <v>34</v>
      </c>
      <c r="F27" s="3" t="s">
        <v>10</v>
      </c>
      <c r="G27" s="3" t="s">
        <v>11</v>
      </c>
      <c r="H27" s="5">
        <v>2</v>
      </c>
      <c r="I27" s="2" t="s">
        <v>1</v>
      </c>
    </row>
    <row r="28" spans="1:10" x14ac:dyDescent="0.2">
      <c r="C28" s="2" t="s">
        <v>35</v>
      </c>
      <c r="F28" s="3" t="s">
        <v>36</v>
      </c>
      <c r="G28" s="3" t="s">
        <v>11</v>
      </c>
      <c r="H28" s="5">
        <v>0</v>
      </c>
      <c r="I28" s="2" t="s">
        <v>1</v>
      </c>
      <c r="J28" s="2" t="str">
        <f>IF(H28&gt;(H3-H27)/2,"Obrys piliera mimo zaklad","OK")</f>
        <v>OK</v>
      </c>
    </row>
    <row r="29" spans="1:10" x14ac:dyDescent="0.2">
      <c r="F29" s="3" t="s">
        <v>37</v>
      </c>
      <c r="G29" s="3" t="s">
        <v>11</v>
      </c>
      <c r="H29" s="5">
        <v>0</v>
      </c>
      <c r="I29" s="2" t="s">
        <v>1</v>
      </c>
      <c r="J29" s="2" t="str">
        <f>IF(H29&gt;(H4-H27)/2,"Obrys piliera mimo zaklad","OK")</f>
        <v>OK</v>
      </c>
    </row>
    <row r="30" spans="1:10" x14ac:dyDescent="0.2">
      <c r="A30" s="10" t="s">
        <v>40</v>
      </c>
      <c r="C30" s="2" t="s">
        <v>41</v>
      </c>
      <c r="F30" s="4" t="s">
        <v>42</v>
      </c>
      <c r="H30" s="8">
        <v>111111</v>
      </c>
    </row>
    <row r="31" spans="1:10" x14ac:dyDescent="0.2">
      <c r="A31" s="10">
        <v>12</v>
      </c>
      <c r="C31" s="2" t="s">
        <v>39</v>
      </c>
      <c r="G31" s="10"/>
      <c r="H31" s="9">
        <v>24</v>
      </c>
    </row>
    <row r="32" spans="1:10" x14ac:dyDescent="0.2">
      <c r="A32" s="10">
        <v>24</v>
      </c>
      <c r="G32" s="10"/>
    </row>
  </sheetData>
  <dataValidations count="3">
    <dataValidation type="whole" allowBlank="1" showInputMessage="1" showErrorMessage="1" sqref="H18">
      <formula1>1</formula1>
      <formula2>H7</formula2>
    </dataValidation>
    <dataValidation type="whole" allowBlank="1" showInputMessage="1" showErrorMessage="1" sqref="H19">
      <formula1>0</formula1>
      <formula2>H8</formula2>
    </dataValidation>
    <dataValidation type="list" operator="equal" allowBlank="1" showInputMessage="1" showErrorMessage="1" sqref="H31">
      <formula1>$A$31:$A$32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10</xdr:col>
                <xdr:colOff>400050</xdr:colOff>
                <xdr:row>5</xdr:row>
                <xdr:rowOff>38100</xdr:rowOff>
              </from>
              <to>
                <xdr:col>12</xdr:col>
                <xdr:colOff>57150</xdr:colOff>
                <xdr:row>8</xdr:row>
                <xdr:rowOff>19050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10</xdr:col>
                <xdr:colOff>400050</xdr:colOff>
                <xdr:row>1</xdr:row>
                <xdr:rowOff>76200</xdr:rowOff>
              </from>
              <to>
                <xdr:col>12</xdr:col>
                <xdr:colOff>57150</xdr:colOff>
                <xdr:row>4</xdr:row>
                <xdr:rowOff>66675</xdr:rowOff>
              </to>
            </anchor>
          </controlPr>
        </control>
      </mc:Choice>
      <mc:Fallback>
        <control shapeId="1026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"/>
  <dimension ref="A1:A119"/>
  <sheetViews>
    <sheetView zoomScale="85" zoomScaleNormal="85" workbookViewId="0">
      <selection sqref="A1:A1048576"/>
    </sheetView>
  </sheetViews>
  <sheetFormatPr defaultRowHeight="14.25" x14ac:dyDescent="0.2"/>
  <cols>
    <col min="1" max="1" width="78.375" customWidth="1"/>
  </cols>
  <sheetData>
    <row r="1" spans="1:1" x14ac:dyDescent="0.2">
      <c r="A1" t="s">
        <v>29</v>
      </c>
    </row>
    <row r="2" spans="1:1" x14ac:dyDescent="0.2">
      <c r="A2" t="s">
        <v>30</v>
      </c>
    </row>
    <row r="3" spans="1:1" x14ac:dyDescent="0.2">
      <c r="A3" t="s">
        <v>43</v>
      </c>
    </row>
    <row r="4" spans="1:1" x14ac:dyDescent="0.2">
      <c r="A4" t="s">
        <v>44</v>
      </c>
    </row>
    <row r="5" spans="1:1" x14ac:dyDescent="0.2">
      <c r="A5" t="s">
        <v>45</v>
      </c>
    </row>
    <row r="6" spans="1:1" x14ac:dyDescent="0.2">
      <c r="A6" t="s">
        <v>46</v>
      </c>
    </row>
    <row r="7" spans="1:1" x14ac:dyDescent="0.2">
      <c r="A7" t="s">
        <v>29</v>
      </c>
    </row>
    <row r="8" spans="1:1" x14ac:dyDescent="0.2">
      <c r="A8" t="s">
        <v>30</v>
      </c>
    </row>
    <row r="9" spans="1:1" x14ac:dyDescent="0.2">
      <c r="A9" t="s">
        <v>47</v>
      </c>
    </row>
    <row r="10" spans="1:1" x14ac:dyDescent="0.2">
      <c r="A10" t="s">
        <v>48</v>
      </c>
    </row>
    <row r="11" spans="1:1" x14ac:dyDescent="0.2">
      <c r="A11" t="s">
        <v>49</v>
      </c>
    </row>
    <row r="12" spans="1:1" x14ac:dyDescent="0.2">
      <c r="A12" t="s">
        <v>50</v>
      </c>
    </row>
    <row r="13" spans="1:1" x14ac:dyDescent="0.2">
      <c r="A13" t="s">
        <v>51</v>
      </c>
    </row>
    <row r="14" spans="1:1" x14ac:dyDescent="0.2">
      <c r="A14" t="s">
        <v>52</v>
      </c>
    </row>
    <row r="15" spans="1:1" x14ac:dyDescent="0.2">
      <c r="A15" t="s">
        <v>53</v>
      </c>
    </row>
    <row r="16" spans="1:1" x14ac:dyDescent="0.2">
      <c r="A16" t="s">
        <v>54</v>
      </c>
    </row>
    <row r="17" spans="1:1" x14ac:dyDescent="0.2">
      <c r="A17" t="s">
        <v>55</v>
      </c>
    </row>
    <row r="18" spans="1:1" x14ac:dyDescent="0.2">
      <c r="A18" t="s">
        <v>56</v>
      </c>
    </row>
    <row r="19" spans="1:1" x14ac:dyDescent="0.2">
      <c r="A19" t="s">
        <v>31</v>
      </c>
    </row>
    <row r="20" spans="1:1" x14ac:dyDescent="0.2">
      <c r="A20" t="s">
        <v>57</v>
      </c>
    </row>
    <row r="21" spans="1:1" x14ac:dyDescent="0.2">
      <c r="A21" t="s">
        <v>29</v>
      </c>
    </row>
    <row r="22" spans="1:1" x14ac:dyDescent="0.2">
      <c r="A22" t="s">
        <v>30</v>
      </c>
    </row>
    <row r="23" spans="1:1" x14ac:dyDescent="0.2">
      <c r="A23" t="s">
        <v>58</v>
      </c>
    </row>
    <row r="24" spans="1:1" x14ac:dyDescent="0.2">
      <c r="A24" t="s">
        <v>59</v>
      </c>
    </row>
    <row r="25" spans="1:1" x14ac:dyDescent="0.2">
      <c r="A25" t="s">
        <v>60</v>
      </c>
    </row>
    <row r="26" spans="1:1" x14ac:dyDescent="0.2">
      <c r="A26" t="s">
        <v>61</v>
      </c>
    </row>
    <row r="27" spans="1:1" x14ac:dyDescent="0.2">
      <c r="A27" t="s">
        <v>62</v>
      </c>
    </row>
    <row r="28" spans="1:1" x14ac:dyDescent="0.2">
      <c r="A28" t="s">
        <v>63</v>
      </c>
    </row>
    <row r="29" spans="1:1" x14ac:dyDescent="0.2">
      <c r="A29" t="s">
        <v>64</v>
      </c>
    </row>
    <row r="30" spans="1:1" x14ac:dyDescent="0.2">
      <c r="A30" t="s">
        <v>65</v>
      </c>
    </row>
    <row r="31" spans="1:1" x14ac:dyDescent="0.2">
      <c r="A31" t="s">
        <v>66</v>
      </c>
    </row>
    <row r="32" spans="1:1" x14ac:dyDescent="0.2">
      <c r="A32" t="s">
        <v>67</v>
      </c>
    </row>
    <row r="33" spans="1:1" x14ac:dyDescent="0.2">
      <c r="A33" t="s">
        <v>31</v>
      </c>
    </row>
    <row r="34" spans="1:1" x14ac:dyDescent="0.2">
      <c r="A34" t="s">
        <v>68</v>
      </c>
    </row>
    <row r="35" spans="1:1" x14ac:dyDescent="0.2">
      <c r="A35" t="s">
        <v>29</v>
      </c>
    </row>
    <row r="36" spans="1:1" x14ac:dyDescent="0.2">
      <c r="A36" t="s">
        <v>30</v>
      </c>
    </row>
    <row r="37" spans="1:1" x14ac:dyDescent="0.2">
      <c r="A37" t="s">
        <v>69</v>
      </c>
    </row>
    <row r="38" spans="1:1" x14ac:dyDescent="0.2">
      <c r="A38" t="s">
        <v>70</v>
      </c>
    </row>
    <row r="39" spans="1:1" x14ac:dyDescent="0.2">
      <c r="A39" t="s">
        <v>71</v>
      </c>
    </row>
    <row r="40" spans="1:1" x14ac:dyDescent="0.2">
      <c r="A40" t="s">
        <v>72</v>
      </c>
    </row>
    <row r="41" spans="1:1" x14ac:dyDescent="0.2">
      <c r="A41" t="s">
        <v>73</v>
      </c>
    </row>
    <row r="42" spans="1:1" x14ac:dyDescent="0.2">
      <c r="A42" t="s">
        <v>74</v>
      </c>
    </row>
    <row r="43" spans="1:1" x14ac:dyDescent="0.2">
      <c r="A43" t="s">
        <v>75</v>
      </c>
    </row>
    <row r="44" spans="1:1" x14ac:dyDescent="0.2">
      <c r="A44" t="s">
        <v>76</v>
      </c>
    </row>
    <row r="45" spans="1:1" x14ac:dyDescent="0.2">
      <c r="A45" t="s">
        <v>77</v>
      </c>
    </row>
    <row r="46" spans="1:1" x14ac:dyDescent="0.2">
      <c r="A46" t="s">
        <v>78</v>
      </c>
    </row>
    <row r="47" spans="1:1" x14ac:dyDescent="0.2">
      <c r="A47" t="s">
        <v>31</v>
      </c>
    </row>
    <row r="48" spans="1:1" x14ac:dyDescent="0.2">
      <c r="A48" t="s">
        <v>79</v>
      </c>
    </row>
    <row r="49" spans="1:1" x14ac:dyDescent="0.2">
      <c r="A49" t="s">
        <v>29</v>
      </c>
    </row>
    <row r="50" spans="1:1" x14ac:dyDescent="0.2">
      <c r="A50" t="s">
        <v>30</v>
      </c>
    </row>
    <row r="51" spans="1:1" x14ac:dyDescent="0.2">
      <c r="A51" t="s">
        <v>80</v>
      </c>
    </row>
    <row r="52" spans="1:1" x14ac:dyDescent="0.2">
      <c r="A52" t="s">
        <v>81</v>
      </c>
    </row>
    <row r="53" spans="1:1" x14ac:dyDescent="0.2">
      <c r="A53" t="s">
        <v>82</v>
      </c>
    </row>
    <row r="54" spans="1:1" x14ac:dyDescent="0.2">
      <c r="A54" t="s">
        <v>83</v>
      </c>
    </row>
    <row r="55" spans="1:1" x14ac:dyDescent="0.2">
      <c r="A55" t="s">
        <v>84</v>
      </c>
    </row>
    <row r="56" spans="1:1" x14ac:dyDescent="0.2">
      <c r="A56" t="s">
        <v>85</v>
      </c>
    </row>
    <row r="57" spans="1:1" x14ac:dyDescent="0.2">
      <c r="A57" t="s">
        <v>86</v>
      </c>
    </row>
    <row r="58" spans="1:1" x14ac:dyDescent="0.2">
      <c r="A58" t="s">
        <v>87</v>
      </c>
    </row>
    <row r="59" spans="1:1" x14ac:dyDescent="0.2">
      <c r="A59" t="s">
        <v>88</v>
      </c>
    </row>
    <row r="60" spans="1:1" x14ac:dyDescent="0.2">
      <c r="A60" t="s">
        <v>89</v>
      </c>
    </row>
    <row r="61" spans="1:1" x14ac:dyDescent="0.2">
      <c r="A61" t="s">
        <v>31</v>
      </c>
    </row>
    <row r="62" spans="1:1" x14ac:dyDescent="0.2">
      <c r="A62" t="s">
        <v>90</v>
      </c>
    </row>
    <row r="63" spans="1:1" x14ac:dyDescent="0.2">
      <c r="A63" t="s">
        <v>29</v>
      </c>
    </row>
    <row r="64" spans="1:1" x14ac:dyDescent="0.2">
      <c r="A64" t="s">
        <v>30</v>
      </c>
    </row>
    <row r="65" spans="1:1" x14ac:dyDescent="0.2">
      <c r="A65" t="s">
        <v>91</v>
      </c>
    </row>
    <row r="66" spans="1:1" x14ac:dyDescent="0.2">
      <c r="A66" t="s">
        <v>92</v>
      </c>
    </row>
    <row r="67" spans="1:1" x14ac:dyDescent="0.2">
      <c r="A67" t="s">
        <v>93</v>
      </c>
    </row>
    <row r="68" spans="1:1" x14ac:dyDescent="0.2">
      <c r="A68" t="s">
        <v>94</v>
      </c>
    </row>
    <row r="69" spans="1:1" x14ac:dyDescent="0.2">
      <c r="A69" t="s">
        <v>95</v>
      </c>
    </row>
    <row r="70" spans="1:1" x14ac:dyDescent="0.2">
      <c r="A70" t="s">
        <v>96</v>
      </c>
    </row>
    <row r="71" spans="1:1" x14ac:dyDescent="0.2">
      <c r="A71" t="s">
        <v>97</v>
      </c>
    </row>
    <row r="72" spans="1:1" x14ac:dyDescent="0.2">
      <c r="A72" t="s">
        <v>98</v>
      </c>
    </row>
    <row r="73" spans="1:1" x14ac:dyDescent="0.2">
      <c r="A73" t="s">
        <v>99</v>
      </c>
    </row>
    <row r="74" spans="1:1" x14ac:dyDescent="0.2">
      <c r="A74" t="s">
        <v>100</v>
      </c>
    </row>
    <row r="75" spans="1:1" x14ac:dyDescent="0.2">
      <c r="A75" t="s">
        <v>31</v>
      </c>
    </row>
    <row r="76" spans="1:1" x14ac:dyDescent="0.2">
      <c r="A76" t="s">
        <v>101</v>
      </c>
    </row>
    <row r="77" spans="1:1" x14ac:dyDescent="0.2">
      <c r="A77" t="s">
        <v>29</v>
      </c>
    </row>
    <row r="78" spans="1:1" x14ac:dyDescent="0.2">
      <c r="A78" t="s">
        <v>30</v>
      </c>
    </row>
    <row r="79" spans="1:1" x14ac:dyDescent="0.2">
      <c r="A79" t="s">
        <v>102</v>
      </c>
    </row>
    <row r="80" spans="1:1" x14ac:dyDescent="0.2">
      <c r="A80" t="s">
        <v>103</v>
      </c>
    </row>
    <row r="81" spans="1:1" x14ac:dyDescent="0.2">
      <c r="A81" t="s">
        <v>104</v>
      </c>
    </row>
    <row r="82" spans="1:1" x14ac:dyDescent="0.2">
      <c r="A82" t="s">
        <v>105</v>
      </c>
    </row>
    <row r="83" spans="1:1" x14ac:dyDescent="0.2">
      <c r="A83" t="s">
        <v>106</v>
      </c>
    </row>
    <row r="84" spans="1:1" x14ac:dyDescent="0.2">
      <c r="A84" t="s">
        <v>107</v>
      </c>
    </row>
    <row r="85" spans="1:1" x14ac:dyDescent="0.2">
      <c r="A85" t="s">
        <v>108</v>
      </c>
    </row>
    <row r="86" spans="1:1" x14ac:dyDescent="0.2">
      <c r="A86" t="s">
        <v>109</v>
      </c>
    </row>
    <row r="87" spans="1:1" x14ac:dyDescent="0.2">
      <c r="A87" t="s">
        <v>110</v>
      </c>
    </row>
    <row r="88" spans="1:1" x14ac:dyDescent="0.2">
      <c r="A88" t="s">
        <v>111</v>
      </c>
    </row>
    <row r="89" spans="1:1" x14ac:dyDescent="0.2">
      <c r="A89" t="s">
        <v>31</v>
      </c>
    </row>
    <row r="90" spans="1:1" x14ac:dyDescent="0.2">
      <c r="A90" t="s">
        <v>112</v>
      </c>
    </row>
    <row r="91" spans="1:1" x14ac:dyDescent="0.2">
      <c r="A91" t="s">
        <v>29</v>
      </c>
    </row>
    <row r="92" spans="1:1" x14ac:dyDescent="0.2">
      <c r="A92" t="s">
        <v>113</v>
      </c>
    </row>
    <row r="93" spans="1:1" x14ac:dyDescent="0.2">
      <c r="A93" t="s">
        <v>29</v>
      </c>
    </row>
    <row r="94" spans="1:1" x14ac:dyDescent="0.2">
      <c r="A94" t="s">
        <v>114</v>
      </c>
    </row>
    <row r="95" spans="1:1" x14ac:dyDescent="0.2">
      <c r="A95" t="s">
        <v>115</v>
      </c>
    </row>
    <row r="96" spans="1:1" x14ac:dyDescent="0.2">
      <c r="A96" t="s">
        <v>116</v>
      </c>
    </row>
    <row r="97" spans="1:1" x14ac:dyDescent="0.2">
      <c r="A97" t="s">
        <v>117</v>
      </c>
    </row>
    <row r="98" spans="1:1" x14ac:dyDescent="0.2">
      <c r="A98" t="s">
        <v>118</v>
      </c>
    </row>
    <row r="99" spans="1:1" x14ac:dyDescent="0.2">
      <c r="A99" t="s">
        <v>119</v>
      </c>
    </row>
    <row r="100" spans="1:1" x14ac:dyDescent="0.2">
      <c r="A100" t="s">
        <v>120</v>
      </c>
    </row>
    <row r="101" spans="1:1" x14ac:dyDescent="0.2">
      <c r="A101" t="s">
        <v>121</v>
      </c>
    </row>
    <row r="102" spans="1:1" x14ac:dyDescent="0.2">
      <c r="A102" t="s">
        <v>122</v>
      </c>
    </row>
    <row r="103" spans="1:1" x14ac:dyDescent="0.2">
      <c r="A103" t="s">
        <v>123</v>
      </c>
    </row>
    <row r="104" spans="1:1" x14ac:dyDescent="0.2">
      <c r="A104" t="s">
        <v>124</v>
      </c>
    </row>
    <row r="105" spans="1:1" x14ac:dyDescent="0.2">
      <c r="A105" t="s">
        <v>125</v>
      </c>
    </row>
    <row r="106" spans="1:1" x14ac:dyDescent="0.2">
      <c r="A106" t="s">
        <v>126</v>
      </c>
    </row>
    <row r="107" spans="1:1" x14ac:dyDescent="0.2">
      <c r="A107" t="s">
        <v>127</v>
      </c>
    </row>
    <row r="108" spans="1:1" x14ac:dyDescent="0.2">
      <c r="A108" t="s">
        <v>128</v>
      </c>
    </row>
    <row r="109" spans="1:1" x14ac:dyDescent="0.2">
      <c r="A109" t="s">
        <v>129</v>
      </c>
    </row>
    <row r="110" spans="1:1" x14ac:dyDescent="0.2">
      <c r="A110" t="s">
        <v>130</v>
      </c>
    </row>
    <row r="111" spans="1:1" x14ac:dyDescent="0.2">
      <c r="A111" t="s">
        <v>131</v>
      </c>
    </row>
    <row r="112" spans="1:1" x14ac:dyDescent="0.2">
      <c r="A112" t="s">
        <v>132</v>
      </c>
    </row>
    <row r="113" spans="1:1" x14ac:dyDescent="0.2">
      <c r="A113" t="s">
        <v>133</v>
      </c>
    </row>
    <row r="114" spans="1:1" x14ac:dyDescent="0.2">
      <c r="A114" t="s">
        <v>134</v>
      </c>
    </row>
    <row r="115" spans="1:1" x14ac:dyDescent="0.2">
      <c r="A115" t="s">
        <v>135</v>
      </c>
    </row>
    <row r="116" spans="1:1" x14ac:dyDescent="0.2">
      <c r="A116" t="s">
        <v>136</v>
      </c>
    </row>
    <row r="117" spans="1:1" x14ac:dyDescent="0.2">
      <c r="A117" t="s">
        <v>137</v>
      </c>
    </row>
    <row r="118" spans="1:1" x14ac:dyDescent="0.2">
      <c r="A118" t="s">
        <v>31</v>
      </c>
    </row>
    <row r="119" spans="1:1" x14ac:dyDescent="0.2">
      <c r="A119" t="s">
        <v>138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3"/>
  <dimension ref="A1"/>
  <sheetViews>
    <sheetView workbookViewId="0">
      <selection activeCell="E28" sqref="E28"/>
    </sheetView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Pracovné hárky</vt:lpstr>
      </vt:variant>
      <vt:variant>
        <vt:i4>3</vt:i4>
      </vt:variant>
    </vt:vector>
  </HeadingPairs>
  <TitlesOfParts>
    <vt:vector size="3" baseType="lpstr">
      <vt:lpstr>Input</vt:lpstr>
      <vt:lpstr>MCT_data</vt:lpstr>
      <vt:lpstr>changelog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Gabor Szabo</dc:creator>
  <cp:lastModifiedBy>Gabor Szabo</cp:lastModifiedBy>
  <dcterms:created xsi:type="dcterms:W3CDTF">2017-06-23T07:16:04Z</dcterms:created>
  <dcterms:modified xsi:type="dcterms:W3CDTF">2017-08-21T09:14:22Z</dcterms:modified>
</cp:coreProperties>
</file>